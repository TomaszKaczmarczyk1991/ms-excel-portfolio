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omek/Downloads/"/>
    </mc:Choice>
  </mc:AlternateContent>
  <xr:revisionPtr revIDLastSave="0" documentId="13_ncr:1_{3A0072E7-9CEE-E94F-AAAA-FCD8D7A3981A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Zadanie - Logistyka" sheetId="1" r:id="rId1"/>
    <sheet name="Katalog Produktów" sheetId="2" r:id="rId2"/>
    <sheet name="Gotowe Rozwiązani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G21" i="1"/>
  <c r="G20" i="1"/>
  <c r="G19" i="1"/>
  <c r="G18" i="1"/>
  <c r="G16" i="1"/>
  <c r="G17" i="1"/>
  <c r="G15" i="1"/>
  <c r="G14" i="1"/>
  <c r="G13" i="1"/>
  <c r="G12" i="1"/>
  <c r="E21" i="1" a="1"/>
  <c r="E21" i="1"/>
  <c r="E20" i="1" a="1"/>
  <c r="E20" i="1"/>
  <c r="E19" i="1" a="1"/>
  <c r="E19" i="1"/>
  <c r="E18" i="1" a="1"/>
  <c r="E18" i="1"/>
  <c r="E17" i="1" a="1"/>
  <c r="E17" i="1"/>
  <c r="E15" i="1" a="1"/>
  <c r="E15" i="1"/>
  <c r="E16" i="1" a="1"/>
  <c r="E16" i="1"/>
  <c r="E14" i="1" a="1"/>
  <c r="E14" i="1"/>
  <c r="E13" i="1" a="1"/>
  <c r="E13" i="1"/>
  <c r="E12" i="1" a="1"/>
  <c r="E12" i="1"/>
  <c r="D21" i="1"/>
  <c r="D20" i="1"/>
  <c r="D19" i="1"/>
  <c r="D18" i="1"/>
  <c r="D17" i="1"/>
  <c r="D16" i="1"/>
  <c r="D15" i="1"/>
  <c r="D14" i="1"/>
  <c r="D13" i="1"/>
  <c r="E14" i="3"/>
  <c r="G14" i="3"/>
  <c r="D14" i="3"/>
  <c r="E13" i="3"/>
  <c r="G13" i="3"/>
  <c r="D13" i="3"/>
  <c r="E12" i="3"/>
  <c r="G12" i="3"/>
  <c r="D12" i="3"/>
  <c r="E11" i="3"/>
  <c r="G11" i="3"/>
  <c r="D11" i="3"/>
  <c r="E10" i="3"/>
  <c r="G10" i="3"/>
  <c r="D10" i="3"/>
  <c r="E9" i="3"/>
  <c r="G9" i="3"/>
  <c r="D9" i="3"/>
  <c r="E8" i="3"/>
  <c r="G8" i="3"/>
  <c r="D8" i="3"/>
  <c r="E7" i="3"/>
  <c r="G7" i="3"/>
  <c r="D7" i="3"/>
  <c r="E6" i="3"/>
  <c r="G6" i="3"/>
  <c r="D6" i="3"/>
  <c r="E5" i="3"/>
  <c r="G5" i="3"/>
  <c r="D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<sst xmlns="http://schemas.openxmlformats.org/spreadsheetml/2006/main" count="109" uniqueCount="52">
  <si>
    <t>ZADANIE PRAKTYCZNE: WYSZUKAJ.PIONOWO (VLOOKUP)</t>
  </si>
  <si>
    <t>Cel: Uzupełnij brakujące dane w tabeli wydań magazynowych na podstawie Cennika/Katalogu Produktów.</t>
  </si>
  <si>
    <t>INSTRUKCJA DO ZADANIA:</t>
  </si>
  <si>
    <t>1. Przejdź do tabeli poniżej ('LISTA WYDAŃ MAGAZYNOWYCH').</t>
  </si>
  <si>
    <t>2. W kolumnie D (Nazwa Produktu) użyj funkcji WYSZUKAJ.PIONOWO (lub VLOOKUP), aby pobrać nazwę towaru z zakładki 'Katalog Produktów'.</t>
  </si>
  <si>
    <t>3. W kolumnie E (Waga 1 szt. kg) użyj funkcji WYSZUKAJ.PIONOWO, aby pobrać wagę produktu z zakładki 'Katalog Produktów'.</t>
  </si>
  <si>
    <t>4. W kolumnie G (Łączna Waga kg) wpisz zwykłą formułę mnożenia: =Sztuki * Waga (czyli =F8*E8).</t>
  </si>
  <si>
    <t>Wskazówka: Wzór dla kolumny D8: =WYSZUKAJ.PIONOWO(C8; 'Katalog Produktów'!A:C; 2; FAŁSZ)</t>
  </si>
  <si>
    <t>ID Wysyłki</t>
  </si>
  <si>
    <t>Data Wydania</t>
  </si>
  <si>
    <t>Kod SKU</t>
  </si>
  <si>
    <t>Nazwa Produktu</t>
  </si>
  <si>
    <t>Waga 1 szt. (kg)</t>
  </si>
  <si>
    <t>Ilość (szt.)</t>
  </si>
  <si>
    <t>Łączna Waga (kg)</t>
  </si>
  <si>
    <t>OUT-2026-001</t>
  </si>
  <si>
    <t>2026-08-01</t>
  </si>
  <si>
    <t>SKU-101</t>
  </si>
  <si>
    <t>OUT-2026-002</t>
  </si>
  <si>
    <t>SKU-104</t>
  </si>
  <si>
    <t>OUT-2026-003</t>
  </si>
  <si>
    <t>2026-08-02</t>
  </si>
  <si>
    <t>SKU-102</t>
  </si>
  <si>
    <t>OUT-2026-004</t>
  </si>
  <si>
    <t>SKU-105</t>
  </si>
  <si>
    <t>OUT-2026-005</t>
  </si>
  <si>
    <t>2026-08-03</t>
  </si>
  <si>
    <t>SKU-103</t>
  </si>
  <si>
    <t>OUT-2026-006</t>
  </si>
  <si>
    <t>OUT-2026-007</t>
  </si>
  <si>
    <t>2026-08-04</t>
  </si>
  <si>
    <t>SKU-106</t>
  </si>
  <si>
    <t>OUT-2026-008</t>
  </si>
  <si>
    <t>OUT-2026-009</t>
  </si>
  <si>
    <t>2026-08-05</t>
  </si>
  <si>
    <t>OUT-2026-010</t>
  </si>
  <si>
    <t>BAZA DANYCH: KATALOG PRODUKTÓW I SPECYFIKACJA</t>
  </si>
  <si>
    <t>Tabela źródłowa, z której funkcja WYSZUKAJ.PIONOWO będzie pobierała dane.</t>
  </si>
  <si>
    <t>Kategoria</t>
  </si>
  <si>
    <t>Cena jedn. (PLN)</t>
  </si>
  <si>
    <t>Karton Klapowy A4</t>
  </si>
  <si>
    <t>Opakowania</t>
  </si>
  <si>
    <t>Folia Streach Przezroczysta</t>
  </si>
  <si>
    <t>Materiały Pakowe</t>
  </si>
  <si>
    <t>Taśma Pakowa Kauczukowa</t>
  </si>
  <si>
    <t>Paleta Euro Drewniana</t>
  </si>
  <si>
    <t>Nośniki</t>
  </si>
  <si>
    <t>Pojemnik Plastikowy KLT</t>
  </si>
  <si>
    <t>Pojemniki</t>
  </si>
  <si>
    <t>Wypełniacz Powietrzny (Rolka)</t>
  </si>
  <si>
    <t>GOTOWE ROZWIAZANIE (Wzory i Wyniki)</t>
  </si>
  <si>
    <t>Sprawdź tutaj swoje wyniki po rozwiązaniu zadania.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</si>
</sst>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2" fontId="4" fillId="3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16" customWidth="1"/>
    <col min="2" max="3" width="14" customWidth="1"/>
    <col min="4" max="4" width="28" customWidth="1"/>
    <col min="5" max="5" width="18" customWidth="1"/>
    <col min="6" max="6" width="14" customWidth="1"/>
    <col min="7" max="7" width="20" customWidth="1"/>
  </cols>
  <sheetData>
    <row r="1" spans="1:7" ht="19" x14ac:dyDescent="0.25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</row>
    <row r="5" spans="1:7" x14ac:dyDescent="0.2">
      <c r="A5" s="4" t="s">
        <v>3</v>
      </c>
    </row>
    <row r="6" spans="1:7" x14ac:dyDescent="0.2">
      <c r="A6" s="4" t="s">
        <v>4</v>
      </c>
    </row>
    <row r="7" spans="1:7" x14ac:dyDescent="0.2">
      <c r="A7" s="4" t="s">
        <v>5</v>
      </c>
    </row>
    <row r="8" spans="1:7" x14ac:dyDescent="0.2">
      <c r="A8" s="4" t="s">
        <v>6</v>
      </c>
    </row>
    <row r="9" spans="1:7" x14ac:dyDescent="0.2">
      <c r="A9" s="4" t="s">
        <v>7</v>
      </c>
    </row>
    <row r="11" spans="1:7" x14ac:dyDescent="0.2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</row>
    <row r="12" spans="1:7" x14ac:dyDescent="0.2">
      <c r="A12" s="6" t="s">
        <v>15</v>
      </c>
      <c r="B12" s="6" t="s">
        <v>16</v>
      </c>
      <c r="C12" s="6" t="s">
        <v>17</v>
      </c>
      <c r="D12" s="7" t="str">
        <f>VLOOKUP(C12,'Katalog Produktów'!A:C,2,FALSE())</f>
        <v>Karton Klapowy A4</v>
      </c>
      <c r="E12" s="8" cm="1">
        <f t="array" ref="E12">VLOOKUP(C12,+'Katalog Produktów'!A:C,3,FALSE())</f>
        <v>0.35</v>
      </c>
      <c r="F12" s="9">
        <v>150</v>
      </c>
      <c r="G12" s="8">
        <f t="shared" ref="G12:G21" si="0">F12*E12</f>
        <v>52.5</v>
      </c>
    </row>
    <row r="13" spans="1:7" x14ac:dyDescent="0.2">
      <c r="A13" s="10" t="s">
        <v>18</v>
      </c>
      <c r="B13" s="10" t="s">
        <v>16</v>
      </c>
      <c r="C13" s="10" t="s">
        <v>19</v>
      </c>
      <c r="D13" s="7" t="str">
        <f>VLOOKUP(C13,'Katalog Produktów'!A:C,2,FALSE())</f>
        <v>Paleta Euro Drewniana</v>
      </c>
      <c r="E13" s="8" cm="1">
        <f t="array" ref="E13">VLOOKUP(C13,+'Katalog Produktów'!A:C,3,FALSE())</f>
        <v>22</v>
      </c>
      <c r="F13" s="11">
        <v>45</v>
      </c>
      <c r="G13" s="8">
        <f t="shared" si="0"/>
        <v>990</v>
      </c>
    </row>
    <row r="14" spans="1:7" x14ac:dyDescent="0.2">
      <c r="A14" s="6" t="s">
        <v>20</v>
      </c>
      <c r="B14" s="6" t="s">
        <v>21</v>
      </c>
      <c r="C14" s="6" t="s">
        <v>22</v>
      </c>
      <c r="D14" s="7" t="str">
        <f>VLOOKUP(C14,'Katalog Produktów'!A:C,2,FALSE())</f>
        <v>Folia Streach Przezroczysta</v>
      </c>
      <c r="E14" s="8" cm="1">
        <f t="array" ref="E14">VLOOKUP(C14,+'Katalog Produktów'!A:C,3,FALSE())</f>
        <v>2.2000000000000002</v>
      </c>
      <c r="F14" s="9">
        <v>200</v>
      </c>
      <c r="G14" s="8">
        <f t="shared" si="0"/>
        <v>440.00000000000006</v>
      </c>
    </row>
    <row r="15" spans="1:7" x14ac:dyDescent="0.2">
      <c r="A15" s="10" t="s">
        <v>23</v>
      </c>
      <c r="B15" s="10" t="s">
        <v>21</v>
      </c>
      <c r="C15" s="10" t="s">
        <v>24</v>
      </c>
      <c r="D15" s="7" t="str">
        <f>VLOOKUP(C15,'Katalog Produktów'!A:C,2,FALSE())</f>
        <v>Pojemnik Plastikowy KLT</v>
      </c>
      <c r="E15" s="8" cm="1">
        <f t="array" ref="E15">VLOOKUP(C15,+'Katalog Produktów'!A:C,3,FALSE())</f>
        <v>1.85</v>
      </c>
      <c r="F15" s="11">
        <v>12</v>
      </c>
      <c r="G15" s="8">
        <f t="shared" si="0"/>
        <v>22.200000000000003</v>
      </c>
    </row>
    <row r="16" spans="1:7" x14ac:dyDescent="0.2">
      <c r="A16" s="6" t="s">
        <v>25</v>
      </c>
      <c r="B16" s="6" t="s">
        <v>26</v>
      </c>
      <c r="C16" s="6" t="s">
        <v>27</v>
      </c>
      <c r="D16" s="7" t="str">
        <f>VLOOKUP(C16,'Katalog Produktów'!A:C,2,FALSE())</f>
        <v>Taśma Pakowa Kauczukowa</v>
      </c>
      <c r="E16" s="8" cm="1">
        <f t="array" ref="E16">VLOOKUP(C16,+'Katalog Produktów'!A:C,3,FALSE())</f>
        <v>0.18</v>
      </c>
      <c r="F16" s="9">
        <v>80</v>
      </c>
      <c r="G16" s="8">
        <f t="shared" si="0"/>
        <v>14.399999999999999</v>
      </c>
    </row>
    <row r="17" spans="1:7" x14ac:dyDescent="0.2">
      <c r="A17" s="10" t="s">
        <v>28</v>
      </c>
      <c r="B17" s="10" t="s">
        <v>26</v>
      </c>
      <c r="C17" s="10" t="s">
        <v>17</v>
      </c>
      <c r="D17" s="7" t="str">
        <f>VLOOKUP(C17,'Katalog Produktów'!A:C,2,FALSE())</f>
        <v>Karton Klapowy A4</v>
      </c>
      <c r="E17" s="8" cm="1">
        <f t="array" ref="E17">VLOOKUP(C17,+'Katalog Produktów'!A:C,3,FALSE())</f>
        <v>0.35</v>
      </c>
      <c r="F17" s="11">
        <v>300</v>
      </c>
      <c r="G17" s="8">
        <f t="shared" si="0"/>
        <v>105</v>
      </c>
    </row>
    <row r="18" spans="1:7" x14ac:dyDescent="0.2">
      <c r="A18" s="6" t="s">
        <v>29</v>
      </c>
      <c r="B18" s="6" t="s">
        <v>30</v>
      </c>
      <c r="C18" s="6" t="s">
        <v>31</v>
      </c>
      <c r="D18" s="7" t="str">
        <f>VLOOKUP(C18,'Katalog Produktów'!A:C,2,FALSE())</f>
        <v>Wypełniacz Powietrzny (Rolka)</v>
      </c>
      <c r="E18" s="8" cm="1">
        <f t="array" ref="E18">VLOOKUP(C18,+'Katalog Produktów'!A:C,3,FALSE())</f>
        <v>0.8</v>
      </c>
      <c r="F18" s="9">
        <v>50</v>
      </c>
      <c r="G18" s="8">
        <f t="shared" si="0"/>
        <v>40</v>
      </c>
    </row>
    <row r="19" spans="1:7" x14ac:dyDescent="0.2">
      <c r="A19" s="10" t="s">
        <v>32</v>
      </c>
      <c r="B19" s="10" t="s">
        <v>30</v>
      </c>
      <c r="C19" s="10" t="s">
        <v>22</v>
      </c>
      <c r="D19" s="7" t="str">
        <f>VLOOKUP(C19,'Katalog Produktów'!A:C,2,FALSE())</f>
        <v>Folia Streach Przezroczysta</v>
      </c>
      <c r="E19" s="8" cm="1">
        <f t="array" ref="E19">VLOOKUP(C19,+'Katalog Produktów'!A:C,3,FALSE())</f>
        <v>2.2000000000000002</v>
      </c>
      <c r="F19" s="11">
        <v>110</v>
      </c>
      <c r="G19" s="8">
        <f t="shared" si="0"/>
        <v>242.00000000000003</v>
      </c>
    </row>
    <row r="20" spans="1:7" x14ac:dyDescent="0.2">
      <c r="A20" s="6" t="s">
        <v>33</v>
      </c>
      <c r="B20" s="6" t="s">
        <v>34</v>
      </c>
      <c r="C20" s="6" t="s">
        <v>19</v>
      </c>
      <c r="D20" s="7" t="str">
        <f>VLOOKUP(C20,'Katalog Produktów'!A:C,2,FALSE())</f>
        <v>Paleta Euro Drewniana</v>
      </c>
      <c r="E20" s="8" cm="1">
        <f t="array" ref="E20">VLOOKUP(C20,+'Katalog Produktów'!A:C,3,FALSE())</f>
        <v>22</v>
      </c>
      <c r="F20" s="9">
        <v>95</v>
      </c>
      <c r="G20" s="8">
        <f t="shared" si="0"/>
        <v>2090</v>
      </c>
    </row>
    <row r="21" spans="1:7" x14ac:dyDescent="0.2">
      <c r="A21" s="10" t="s">
        <v>35</v>
      </c>
      <c r="B21" s="10" t="s">
        <v>34</v>
      </c>
      <c r="C21" s="10" t="s">
        <v>27</v>
      </c>
      <c r="D21" s="7" t="str">
        <f>VLOOKUP(C21,'Katalog Produktów'!A:C,2,FALSE())</f>
        <v>Taśma Pakowa Kauczukowa</v>
      </c>
      <c r="E21" s="8" cm="1">
        <f t="array" ref="E21">VLOOKUP(C21,+'Katalog Produktów'!A:C,3,FALSE())</f>
        <v>0.18</v>
      </c>
      <c r="F21" s="11">
        <v>210</v>
      </c>
      <c r="G21" s="8">
        <f t="shared" si="0"/>
        <v>37.799999999999997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8.83203125" defaultRowHeight="15" x14ac:dyDescent="0.2"/>
  <cols>
    <col min="1" max="1" width="78" customWidth="1"/>
    <col min="2" max="2" width="34" customWidth="1"/>
    <col min="3" max="5" width="21" customWidth="1"/>
  </cols>
  <sheetData>
    <row r="1" spans="1:5" ht="19" x14ac:dyDescent="0.25">
      <c r="A1" s="1" t="s">
        <v>36</v>
      </c>
    </row>
    <row r="2" spans="1:5" x14ac:dyDescent="0.2">
      <c r="A2" s="2" t="s">
        <v>37</v>
      </c>
    </row>
    <row r="4" spans="1:5" x14ac:dyDescent="0.2">
      <c r="A4" s="5" t="s">
        <v>10</v>
      </c>
      <c r="B4" s="5" t="s">
        <v>11</v>
      </c>
      <c r="C4" s="5" t="s">
        <v>12</v>
      </c>
      <c r="D4" s="5" t="s">
        <v>38</v>
      </c>
      <c r="E4" s="5" t="s">
        <v>39</v>
      </c>
    </row>
    <row r="5" spans="1:5" x14ac:dyDescent="0.2">
      <c r="A5" s="10" t="s">
        <v>17</v>
      </c>
      <c r="B5" s="12" t="s">
        <v>40</v>
      </c>
      <c r="C5" s="13">
        <v>0.35</v>
      </c>
      <c r="D5" s="10" t="s">
        <v>41</v>
      </c>
      <c r="E5" s="13">
        <v>2.5</v>
      </c>
    </row>
    <row r="6" spans="1:5" x14ac:dyDescent="0.2">
      <c r="A6" s="6" t="s">
        <v>22</v>
      </c>
      <c r="B6" s="14" t="s">
        <v>42</v>
      </c>
      <c r="C6" s="15">
        <v>2.2000000000000002</v>
      </c>
      <c r="D6" s="6" t="s">
        <v>43</v>
      </c>
      <c r="E6" s="15">
        <v>38</v>
      </c>
    </row>
    <row r="7" spans="1:5" x14ac:dyDescent="0.2">
      <c r="A7" s="10" t="s">
        <v>27</v>
      </c>
      <c r="B7" s="12" t="s">
        <v>44</v>
      </c>
      <c r="C7" s="13">
        <v>0.18</v>
      </c>
      <c r="D7" s="10" t="s">
        <v>43</v>
      </c>
      <c r="E7" s="13">
        <v>4.2</v>
      </c>
    </row>
    <row r="8" spans="1:5" x14ac:dyDescent="0.2">
      <c r="A8" s="6" t="s">
        <v>19</v>
      </c>
      <c r="B8" s="14" t="s">
        <v>45</v>
      </c>
      <c r="C8" s="15">
        <v>22</v>
      </c>
      <c r="D8" s="6" t="s">
        <v>46</v>
      </c>
      <c r="E8" s="15">
        <v>65</v>
      </c>
    </row>
    <row r="9" spans="1:5" x14ac:dyDescent="0.2">
      <c r="A9" s="10" t="s">
        <v>24</v>
      </c>
      <c r="B9" s="12" t="s">
        <v>47</v>
      </c>
      <c r="C9" s="13">
        <v>1.85</v>
      </c>
      <c r="D9" s="10" t="s">
        <v>48</v>
      </c>
      <c r="E9" s="13">
        <v>42</v>
      </c>
    </row>
    <row r="10" spans="1:5" x14ac:dyDescent="0.2">
      <c r="A10" s="6" t="s">
        <v>31</v>
      </c>
      <c r="B10" s="14" t="s">
        <v>49</v>
      </c>
      <c r="C10" s="15">
        <v>0.8</v>
      </c>
      <c r="D10" s="6" t="s">
        <v>43</v>
      </c>
      <c r="E10" s="15">
        <v>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baseColWidth="10" defaultColWidth="8.83203125" defaultRowHeight="15" x14ac:dyDescent="0.2"/>
  <cols>
    <col min="1" max="1" width="54" customWidth="1"/>
    <col min="2" max="3" width="16" customWidth="1"/>
    <col min="4" max="4" width="28" customWidth="1"/>
    <col min="5" max="5" width="52" customWidth="1"/>
    <col min="6" max="6" width="16" customWidth="1"/>
    <col min="7" max="7" width="20" customWidth="1"/>
  </cols>
  <sheetData>
    <row r="1" spans="1:7" ht="19" x14ac:dyDescent="0.25">
      <c r="A1" s="1" t="s">
        <v>50</v>
      </c>
    </row>
    <row r="2" spans="1:7" x14ac:dyDescent="0.2">
      <c r="A2" s="2" t="s">
        <v>51</v>
      </c>
    </row>
    <row r="4" spans="1:7" x14ac:dyDescent="0.2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">
      <c r="A5" s="6" t="s">
        <v>15</v>
      </c>
      <c r="B5" s="6" t="s">
        <v>16</v>
      </c>
      <c r="C5" s="6" t="s">
        <v>17</v>
      </c>
      <c r="D5" s="16" t="str">
        <f>VLOOKUP(C5, 'Katalog Produktów'!A:C, 2, FALSE)</f>
        <v>Karton Klapowy A4</v>
      </c>
      <c r="E5" s="17">
        <f>VLOOKUP(C5, 'Katalog Produktów'!A:C, 3, FALSE)</f>
        <v>0.35</v>
      </c>
      <c r="F5" s="9">
        <v>150</v>
      </c>
      <c r="G5" s="15">
        <f t="shared" ref="G5:G14" si="0">F5*E5</f>
        <v>52.5</v>
      </c>
    </row>
    <row r="6" spans="1:7" x14ac:dyDescent="0.2">
      <c r="A6" s="6" t="s">
        <v>18</v>
      </c>
      <c r="B6" s="6" t="s">
        <v>16</v>
      </c>
      <c r="C6" s="6" t="s">
        <v>19</v>
      </c>
      <c r="D6" s="16" t="str">
        <f>VLOOKUP(C6, 'Katalog Produktów'!A:C, 2, FALSE)</f>
        <v>Paleta Euro Drewniana</v>
      </c>
      <c r="E6" s="17">
        <f>VLOOKUP(C6, 'Katalog Produktów'!A:C, 3, FALSE)</f>
        <v>22</v>
      </c>
      <c r="F6" s="9">
        <v>45</v>
      </c>
      <c r="G6" s="15">
        <f t="shared" si="0"/>
        <v>990</v>
      </c>
    </row>
    <row r="7" spans="1:7" x14ac:dyDescent="0.2">
      <c r="A7" s="6" t="s">
        <v>20</v>
      </c>
      <c r="B7" s="6" t="s">
        <v>21</v>
      </c>
      <c r="C7" s="6" t="s">
        <v>22</v>
      </c>
      <c r="D7" s="16" t="str">
        <f>VLOOKUP(C7, 'Katalog Produktów'!A:C, 2, FALSE)</f>
        <v>Folia Streach Przezroczysta</v>
      </c>
      <c r="E7" s="17">
        <f>VLOOKUP(C7, 'Katalog Produktów'!A:C, 3, FALSE)</f>
        <v>2.2000000000000002</v>
      </c>
      <c r="F7" s="9">
        <v>200</v>
      </c>
      <c r="G7" s="15">
        <f t="shared" si="0"/>
        <v>440.00000000000006</v>
      </c>
    </row>
    <row r="8" spans="1:7" x14ac:dyDescent="0.2">
      <c r="A8" s="6" t="s">
        <v>23</v>
      </c>
      <c r="B8" s="6" t="s">
        <v>21</v>
      </c>
      <c r="C8" s="6" t="s">
        <v>24</v>
      </c>
      <c r="D8" s="16" t="str">
        <f>VLOOKUP(C8, 'Katalog Produktów'!A:C, 2, FALSE)</f>
        <v>Pojemnik Plastikowy KLT</v>
      </c>
      <c r="E8" s="17">
        <f>VLOOKUP(C8, 'Katalog Produktów'!A:C, 3, FALSE)</f>
        <v>1.85</v>
      </c>
      <c r="F8" s="9">
        <v>12</v>
      </c>
      <c r="G8" s="15">
        <f t="shared" si="0"/>
        <v>22.200000000000003</v>
      </c>
    </row>
    <row r="9" spans="1:7" x14ac:dyDescent="0.2">
      <c r="A9" s="6" t="s">
        <v>25</v>
      </c>
      <c r="B9" s="6" t="s">
        <v>26</v>
      </c>
      <c r="C9" s="6" t="s">
        <v>27</v>
      </c>
      <c r="D9" s="16" t="str">
        <f>VLOOKUP(C9, 'Katalog Produktów'!A:C, 2, FALSE)</f>
        <v>Taśma Pakowa Kauczukowa</v>
      </c>
      <c r="E9" s="17">
        <f>VLOOKUP(C9, 'Katalog Produktów'!A:C, 3, FALSE)</f>
        <v>0.18</v>
      </c>
      <c r="F9" s="9">
        <v>80</v>
      </c>
      <c r="G9" s="15">
        <f t="shared" si="0"/>
        <v>14.399999999999999</v>
      </c>
    </row>
    <row r="10" spans="1:7" x14ac:dyDescent="0.2">
      <c r="A10" s="6" t="s">
        <v>28</v>
      </c>
      <c r="B10" s="6" t="s">
        <v>26</v>
      </c>
      <c r="C10" s="6" t="s">
        <v>17</v>
      </c>
      <c r="D10" s="16" t="str">
        <f>VLOOKUP(C10, 'Katalog Produktów'!A:C, 2, FALSE)</f>
        <v>Karton Klapowy A4</v>
      </c>
      <c r="E10" s="17">
        <f>VLOOKUP(C10, 'Katalog Produktów'!A:C, 3, FALSE)</f>
        <v>0.35</v>
      </c>
      <c r="F10" s="9">
        <v>300</v>
      </c>
      <c r="G10" s="15">
        <f t="shared" si="0"/>
        <v>105</v>
      </c>
    </row>
    <row r="11" spans="1:7" x14ac:dyDescent="0.2">
      <c r="A11" s="6" t="s">
        <v>29</v>
      </c>
      <c r="B11" s="6" t="s">
        <v>30</v>
      </c>
      <c r="C11" s="6" t="s">
        <v>31</v>
      </c>
      <c r="D11" s="16" t="str">
        <f>VLOOKUP(C11, 'Katalog Produktów'!A:C, 2, FALSE)</f>
        <v>Wypełniacz Powietrzny (Rolka)</v>
      </c>
      <c r="E11" s="17">
        <f>VLOOKUP(C11, 'Katalog Produktów'!A:C, 3, FALSE)</f>
        <v>0.8</v>
      </c>
      <c r="F11" s="9">
        <v>50</v>
      </c>
      <c r="G11" s="15">
        <f t="shared" si="0"/>
        <v>40</v>
      </c>
    </row>
    <row r="12" spans="1:7" x14ac:dyDescent="0.2">
      <c r="A12" s="6" t="s">
        <v>32</v>
      </c>
      <c r="B12" s="6" t="s">
        <v>30</v>
      </c>
      <c r="C12" s="6" t="s">
        <v>22</v>
      </c>
      <c r="D12" s="16" t="str">
        <f>VLOOKUP(C12, 'Katalog Produktów'!A:C, 2, FALSE)</f>
        <v>Folia Streach Przezroczysta</v>
      </c>
      <c r="E12" s="17">
        <f>VLOOKUP(C12, 'Katalog Produktów'!A:C, 3, FALSE)</f>
        <v>2.2000000000000002</v>
      </c>
      <c r="F12" s="9">
        <v>110</v>
      </c>
      <c r="G12" s="15">
        <f t="shared" si="0"/>
        <v>242.00000000000003</v>
      </c>
    </row>
    <row r="13" spans="1:7" x14ac:dyDescent="0.2">
      <c r="A13" s="6" t="s">
        <v>33</v>
      </c>
      <c r="B13" s="6" t="s">
        <v>34</v>
      </c>
      <c r="C13" s="6" t="s">
        <v>19</v>
      </c>
      <c r="D13" s="16" t="str">
        <f>VLOOKUP(C13, 'Katalog Produktów'!A:C, 2, FALSE)</f>
        <v>Paleta Euro Drewniana</v>
      </c>
      <c r="E13" s="17">
        <f>VLOOKUP(C13, 'Katalog Produktów'!A:C, 3, FALSE)</f>
        <v>22</v>
      </c>
      <c r="F13" s="9">
        <v>95</v>
      </c>
      <c r="G13" s="15">
        <f t="shared" si="0"/>
        <v>2090</v>
      </c>
    </row>
    <row r="14" spans="1:7" x14ac:dyDescent="0.2">
      <c r="A14" s="6" t="s">
        <v>35</v>
      </c>
      <c r="B14" s="6" t="s">
        <v>34</v>
      </c>
      <c r="C14" s="6" t="s">
        <v>27</v>
      </c>
      <c r="D14" s="16" t="str">
        <f>VLOOKUP(C14, 'Katalog Produktów'!A:C, 2, FALSE)</f>
        <v>Taśma Pakowa Kauczukowa</v>
      </c>
      <c r="E14" s="17">
        <f>VLOOKUP(C14, 'Katalog Produktów'!A:C, 3, FALSE)</f>
        <v>0.18</v>
      </c>
      <c r="F14" s="9">
        <v>210</v>
      </c>
      <c r="G14" s="15">
        <f t="shared" si="0"/>
        <v>37.799999999999997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Zadanie - Logistyka</vt:lpstr>
      <vt:lpstr>Katalog Produktów</vt:lpstr>
      <vt:lpstr>Gotowe Rozwiązanie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tomkac1991@gmail.com</cp:lastModifiedBy>
  <cp:revision/>
  <dcterms:created xsi:type="dcterms:W3CDTF">2026-08-10T16:04:32Z</dcterms:created>
  <dcterms:modified xsi:type="dcterms:W3CDTF">2026-08-30T21:22:07Z</dcterms:modified>
  <cp:category/>
  <cp:contentStatus/>
</cp:coreProperties>
</file>